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view\excel\"/>
    </mc:Choice>
  </mc:AlternateContent>
  <xr:revisionPtr revIDLastSave="0" documentId="13_ncr:1_{9ECA1E63-5B4D-47C5-AF7F-21F40ECCC23E}" xr6:coauthVersionLast="47" xr6:coauthVersionMax="47" xr10:uidLastSave="{00000000-0000-0000-0000-000000000000}"/>
  <bookViews>
    <workbookView xWindow="-110" yWindow="-110" windowWidth="19420" windowHeight="10300" activeTab="1" xr2:uid="{4F6C4126-2870-407D-9664-99FEFA04C799}"/>
  </bookViews>
  <sheets>
    <sheet name="Dashboard" sheetId="6" r:id="rId1"/>
    <sheet name="Raw" sheetId="1" r:id="rId2"/>
    <sheet name="Lookup" sheetId="2" r:id="rId3"/>
    <sheet name="Clean" sheetId="3" r:id="rId4"/>
    <sheet name="pivot_table" sheetId="5" r:id="rId5"/>
    <sheet name="Summary" sheetId="4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6" l="1"/>
  <c r="E4" i="6"/>
  <c r="C4" i="6"/>
  <c r="A4" i="6"/>
  <c r="D2" i="4"/>
  <c r="B3" i="4"/>
  <c r="B4" i="4"/>
  <c r="B2" i="4"/>
  <c r="A18" i="3"/>
  <c r="H2" i="3"/>
  <c r="H3" i="3"/>
  <c r="H4" i="3"/>
  <c r="H5" i="3"/>
  <c r="H6" i="3"/>
  <c r="H7" i="3"/>
  <c r="H8" i="3"/>
  <c r="H9" i="3"/>
  <c r="H10" i="3"/>
  <c r="H11" i="3"/>
  <c r="H12" i="3"/>
  <c r="H13" i="3"/>
  <c r="G13" i="3"/>
  <c r="G12" i="3"/>
  <c r="G11" i="3"/>
  <c r="G10" i="3"/>
  <c r="G9" i="3"/>
  <c r="G8" i="3"/>
  <c r="G7" i="3"/>
  <c r="G6" i="3"/>
  <c r="G5" i="3"/>
  <c r="G4" i="3"/>
  <c r="G3" i="3"/>
  <c r="G2" i="3"/>
  <c r="A16" i="3"/>
  <c r="H2" i="1"/>
</calcChain>
</file>

<file path=xl/sharedStrings.xml><?xml version="1.0" encoding="utf-8"?>
<sst xmlns="http://schemas.openxmlformats.org/spreadsheetml/2006/main" count="128" uniqueCount="40">
  <si>
    <t>ticket_id</t>
  </si>
  <si>
    <t>month</t>
  </si>
  <si>
    <t>team_id</t>
  </si>
  <si>
    <t>channel</t>
  </si>
  <si>
    <t>resolution_hours</t>
  </si>
  <si>
    <t>satisfaction</t>
  </si>
  <si>
    <t>Jan</t>
  </si>
  <si>
    <t>Feb</t>
  </si>
  <si>
    <t>Mar</t>
  </si>
  <si>
    <t>T1</t>
  </si>
  <si>
    <t>T2</t>
  </si>
  <si>
    <t>T3</t>
  </si>
  <si>
    <t>T4</t>
  </si>
  <si>
    <t>Email</t>
  </si>
  <si>
    <t>Chat</t>
  </si>
  <si>
    <t>Phone</t>
  </si>
  <si>
    <t>team</t>
  </si>
  <si>
    <t>department</t>
  </si>
  <si>
    <t>AccountCare</t>
  </si>
  <si>
    <t>BillingHelp</t>
  </si>
  <si>
    <t>AppSupport</t>
  </si>
  <si>
    <t>DeviceHelp</t>
  </si>
  <si>
    <t>Service</t>
  </si>
  <si>
    <t>Technical</t>
  </si>
  <si>
    <t>Before Row Count</t>
  </si>
  <si>
    <t>After Row Count</t>
  </si>
  <si>
    <t>department(XLOOKUP)</t>
  </si>
  <si>
    <t>breach_flag</t>
  </si>
  <si>
    <t>Channel</t>
  </si>
  <si>
    <t>Breached Tickets</t>
  </si>
  <si>
    <t>SLA Breach Rate</t>
  </si>
  <si>
    <t>Row Labels</t>
  </si>
  <si>
    <t>Grand Total</t>
  </si>
  <si>
    <t>Column Labels</t>
  </si>
  <si>
    <t>Average of resolution_hours</t>
  </si>
  <si>
    <t>total tickets</t>
  </si>
  <si>
    <t>avg satisfactions</t>
  </si>
  <si>
    <t>SLA Breaches</t>
  </si>
  <si>
    <t>Breach Rate</t>
  </si>
  <si>
    <t>Ticket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</si>
</sst>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333333"/>
      <name val="Courier New"/>
      <family val="3"/>
    </font>
    <font>
      <sz val="8"/>
      <name val="Calibri"/>
      <family val="2"/>
      <scheme val="minor"/>
    </font>
    <font>
      <sz val="10"/>
      <color theme="0"/>
      <name val="Courier New"/>
      <family val="3"/>
    </font>
    <font>
      <b/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5" fillId="0" borderId="0" xfId="0" applyFont="1"/>
    <xf numFmtId="1" fontId="0" fillId="0" borderId="0" xfId="0" applyNumberFormat="1"/>
    <xf numFmtId="2" fontId="5" fillId="0" borderId="0" xfId="0" applyNumberFormat="1" applyFont="1"/>
    <xf numFmtId="2" fontId="0" fillId="0" borderId="0" xfId="0" applyNumberFormat="1"/>
    <xf numFmtId="0" fontId="0" fillId="0" borderId="1" xfId="0" applyBorder="1"/>
    <xf numFmtId="0" fontId="0" fillId="3" borderId="1" xfId="0" applyFill="1" applyBorder="1"/>
    <xf numFmtId="10" fontId="0" fillId="0" borderId="1" xfId="1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0" fontId="0" fillId="2" borderId="0" xfId="0" applyFill="1"/>
    <xf numFmtId="0" fontId="6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6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ourier New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ourier New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[ticket_analysis.xlsx]pivot_table!PivotTable1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pivot_table!$A$5:$A$7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pivot_table!$B$5:$B$7</c:f>
              <c:numCache>
                <c:formatCode>General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B-4B4B-A06F-23AC02BA2DA1}"/>
            </c:ext>
          </c:extLst>
        </c:ser>
        <c:ser>
          <c:idx val="1"/>
          <c:order val="1"/>
          <c:tx>
            <c:strRef>
              <c:f>pivot_table!$C$3:$C$4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pivot_table!$A$5:$A$7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pivot_table!$C$5:$C$7</c:f>
              <c:numCache>
                <c:formatCode>General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8B-4B4B-A06F-23AC02BA2DA1}"/>
            </c:ext>
          </c:extLst>
        </c:ser>
        <c:ser>
          <c:idx val="2"/>
          <c:order val="2"/>
          <c:tx>
            <c:strRef>
              <c:f>pivot_table!$D$3:$D$4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pivot_table!$A$5:$A$7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pivot_table!$D$5:$D$7</c:f>
              <c:numCache>
                <c:formatCode>General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8B-4B4B-A06F-23AC02BA2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282912"/>
        <c:axId val="596280000"/>
      </c:barChart>
      <c:catAx>
        <c:axId val="59628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80000"/>
        <c:crosses val="autoZero"/>
        <c:auto val="1"/>
        <c:lblAlgn val="ctr"/>
        <c:lblOffset val="100"/>
        <c:noMultiLvlLbl val="0"/>
      </c:catAx>
      <c:valAx>
        <c:axId val="59628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8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6</xdr:row>
      <xdr:rowOff>88900</xdr:rowOff>
    </xdr:from>
    <xdr:to>
      <xdr:col>6</xdr:col>
      <xdr:colOff>241300</xdr:colOff>
      <xdr:row>21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F253DE-D014-4F6D-A6CF-84334E631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P TECH" refreshedDate="46291.518312499997" createdVersion="7" refreshedVersion="7" minRefreshableVersion="3" recordCount="12" xr:uid="{71B78ED6-12D9-4CE8-850B-DC7D097AD48D}">
  <cacheSource type="worksheet">
    <worksheetSource name="Table13"/>
  </cacheSource>
  <cacheFields count="8">
    <cacheField name="ticke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team_id" numFmtId="0">
      <sharedItems/>
    </cacheField>
    <cacheField name="channel" numFmtId="0">
      <sharedItems/>
    </cacheField>
    <cacheField name="resolution_hours" numFmtId="2">
      <sharedItems containsSemiMixedTypes="0" containsString="0" containsNumber="1" containsInteger="1" minValue="8" maxValue="40"/>
    </cacheField>
    <cacheField name="satisfaction" numFmtId="2">
      <sharedItems containsSemiMixedTypes="0" containsString="0" containsNumber="1" containsInteger="1" minValue="2" maxValue="5"/>
    </cacheField>
    <cacheField name="department(XLOOKUP)" numFmtId="0">
      <sharedItems count="2">
        <s v="Service"/>
        <s v="Technical"/>
      </sharedItems>
    </cacheField>
    <cacheField name="breach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T1"/>
    <s v="Email"/>
    <n v="12"/>
    <n v="4"/>
    <x v="0"/>
    <n v="0"/>
  </r>
  <r>
    <n v="2"/>
    <x v="0"/>
    <s v="T2"/>
    <s v="Chat"/>
    <n v="28"/>
    <n v="3"/>
    <x v="0"/>
    <n v="1"/>
  </r>
  <r>
    <n v="3"/>
    <x v="0"/>
    <s v="T3"/>
    <s v="Phone"/>
    <n v="36"/>
    <n v="2"/>
    <x v="1"/>
    <n v="1"/>
  </r>
  <r>
    <n v="4"/>
    <x v="0"/>
    <s v="T4"/>
    <s v="Email"/>
    <n v="20"/>
    <n v="4"/>
    <x v="1"/>
    <n v="0"/>
  </r>
  <r>
    <n v="5"/>
    <x v="1"/>
    <s v="T1"/>
    <s v="Chat"/>
    <n v="8"/>
    <n v="5"/>
    <x v="0"/>
    <n v="0"/>
  </r>
  <r>
    <n v="6"/>
    <x v="1"/>
    <s v="T2"/>
    <s v="Phone"/>
    <n v="30"/>
    <n v="3"/>
    <x v="0"/>
    <n v="1"/>
  </r>
  <r>
    <n v="7"/>
    <x v="1"/>
    <s v="T3"/>
    <s v="Email"/>
    <n v="18"/>
    <n v="4"/>
    <x v="1"/>
    <n v="0"/>
  </r>
  <r>
    <n v="8"/>
    <x v="1"/>
    <s v="T4"/>
    <s v="Chat"/>
    <n v="40"/>
    <n v="2"/>
    <x v="1"/>
    <n v="1"/>
  </r>
  <r>
    <n v="9"/>
    <x v="2"/>
    <s v="T1"/>
    <s v="Phone"/>
    <n v="16"/>
    <n v="4"/>
    <x v="0"/>
    <n v="0"/>
  </r>
  <r>
    <n v="10"/>
    <x v="2"/>
    <s v="T2"/>
    <s v="Email"/>
    <n v="22"/>
    <n v="4"/>
    <x v="0"/>
    <n v="0"/>
  </r>
  <r>
    <n v="11"/>
    <x v="2"/>
    <s v="T3"/>
    <s v="Chat"/>
    <n v="32"/>
    <n v="3"/>
    <x v="1"/>
    <n v="1"/>
  </r>
  <r>
    <n v="12"/>
    <x v="2"/>
    <s v="T4"/>
    <s v="Phone"/>
    <n v="24"/>
    <n v="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99E82-3832-4C2B-B74F-A8A108B2004D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9:C26" firstHeaderRow="1" firstDataRow="1" firstDataCol="0"/>
  <pivotFields count="8">
    <pivotField showAll="0"/>
    <pivotField showAll="0"/>
    <pivotField showAll="0"/>
    <pivotField showAll="0"/>
    <pivotField numFmtId="2" showAll="0"/>
    <pivotField numFmtId="2"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DC14B-965A-4AD0-BE33-7D7331349A35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E7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numFmtId="2"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esolution_hours" fld="4" subtotal="average" baseField="6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10F41-B42D-4E79-993C-6F6E708AEF1E}" name="Table1" displayName="Table1" ref="A1:F14" totalsRowShown="0" headerRowDxfId="5">
  <autoFilter ref="A1:F14" xr:uid="{6C610F41-B42D-4E79-993C-6F6E708AEF1E}"/>
  <tableColumns count="6">
    <tableColumn id="1" xr3:uid="{E958F79E-FFF7-4FC6-AF26-BE4C89841821}" name="ticket_id"/>
    <tableColumn id="2" xr3:uid="{FFD4612C-AF5F-4AD6-9E3D-93187693E991}" name="month"/>
    <tableColumn id="3" xr3:uid="{FF6252B8-A3DA-4ABA-89C4-0FA3164CB0D6}" name="team_id"/>
    <tableColumn id="4" xr3:uid="{E8ACD148-D3AF-4777-9294-524B119DB099}" name="channel"/>
    <tableColumn id="5" xr3:uid="{23AD1645-9C27-480B-88AF-2C3911A1B64F}" name="resolution_hours"/>
    <tableColumn id="6" xr3:uid="{C1134AF9-AA27-4DBE-9705-2B5291EEF9A1}" name="satisf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1CD671-72F8-4517-A80E-03BD53E56862}" name="Table13" displayName="Table13" ref="A1:H13" totalsRowShown="0" headerRowDxfId="4">
  <autoFilter ref="A1:H13" xr:uid="{681CD671-72F8-4517-A80E-03BD53E56862}"/>
  <tableColumns count="8">
    <tableColumn id="1" xr3:uid="{7BDBCCD3-9AB1-43C2-9D12-FA047BF4D73D}" name="ticket_id"/>
    <tableColumn id="2" xr3:uid="{9A6AA1EE-1A2D-41DD-B1C4-FA43CF156E8E}" name="month"/>
    <tableColumn id="3" xr3:uid="{3575B23C-1A4C-453B-8419-3ADE6C497448}" name="team_id"/>
    <tableColumn id="4" xr3:uid="{328B4A31-78A3-484F-A8F3-7D4C3A52F2FB}" name="channel"/>
    <tableColumn id="5" xr3:uid="{7E506D77-90E8-4B6B-AC83-52286061ECAF}" name="resolution_hours" dataDxfId="3"/>
    <tableColumn id="6" xr3:uid="{0B2477A8-6C95-4C0B-99F9-F8FB68FA84E4}" name="satisfaction" dataDxfId="2"/>
    <tableColumn id="7" xr3:uid="{1E8CA858-FAA2-4997-92B8-759CE5384FF2}" name="department(XLOOKUP)" dataDxfId="1">
      <calculatedColumnFormula>_xlfn.XLOOKUP(C2,Lookup!$A$2:$A$5,Lookup!$C$2:$C$5)</calculatedColumnFormula>
    </tableColumn>
    <tableColumn id="8" xr3:uid="{E7CBE16C-2919-4C73-85FE-252882CDC87A}" name="breach_flag" dataDxfId="0">
      <calculatedColumnFormula>IF(E2&gt;24,1,0)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D1A2-7D40-4386-B7A2-55E1F6D826DF}">
  <dimension ref="A1:AC4"/>
  <sheetViews>
    <sheetView workbookViewId="0">
      <selection activeCell="H13" sqref="H13"/>
    </sheetView>
  </sheetViews>
  <sheetFormatPr defaultRowHeight="14.5" x14ac:dyDescent="0.35"/>
  <cols>
    <col min="1" max="1" width="10.36328125" bestFit="1" customWidth="1"/>
    <col min="3" max="3" width="18.54296875" bestFit="1" customWidth="1"/>
    <col min="5" max="5" width="17.26953125" bestFit="1" customWidth="1"/>
    <col min="7" max="8" width="14.453125" bestFit="1" customWidth="1"/>
  </cols>
  <sheetData>
    <row r="1" spans="1:29" s="23" customFormat="1" ht="26" x14ac:dyDescent="0.6">
      <c r="A1" s="25" t="s">
        <v>39</v>
      </c>
      <c r="B1" s="26"/>
      <c r="C1" s="26"/>
      <c r="D1" s="26"/>
      <c r="E1" s="26"/>
      <c r="F1" s="26"/>
      <c r="G1" s="26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3" spans="1:29" x14ac:dyDescent="0.35">
      <c r="A3" s="20" t="s">
        <v>35</v>
      </c>
      <c r="C3" s="20" t="s">
        <v>37</v>
      </c>
      <c r="E3" s="20" t="s">
        <v>38</v>
      </c>
      <c r="G3" s="20" t="s">
        <v>36</v>
      </c>
    </row>
    <row r="4" spans="1:29" x14ac:dyDescent="0.35">
      <c r="A4" s="21">
        <f>COUNTA(Clean!A2:A13)</f>
        <v>12</v>
      </c>
      <c r="C4" s="21">
        <f>COUNTIF(Clean!H2:H13,1)</f>
        <v>5</v>
      </c>
      <c r="E4" s="21">
        <f>COUNTIF(Clean!H2:H13,1)</f>
        <v>5</v>
      </c>
      <c r="G4" s="22">
        <f>AVERAGE(Clean!E2:E13)</f>
        <v>23.833333333333332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C721-A8FB-412F-B816-31C7ABD1CCBF}">
  <dimension ref="A1:H14"/>
  <sheetViews>
    <sheetView tabSelected="1" workbookViewId="0">
      <selection activeCell="J13" sqref="J13"/>
    </sheetView>
  </sheetViews>
  <sheetFormatPr defaultRowHeight="14.5" x14ac:dyDescent="0.35"/>
  <cols>
    <col min="1" max="1" width="10.08984375" customWidth="1"/>
    <col min="3" max="4" width="10.453125" customWidth="1"/>
    <col min="5" max="5" width="20.26953125" customWidth="1"/>
    <col min="6" max="6" width="15.90625" customWidth="1"/>
    <col min="8" max="8" width="16" bestFit="1" customWidth="1"/>
  </cols>
  <sheetData>
    <row r="1" spans="1:8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6" t="s">
        <v>24</v>
      </c>
    </row>
    <row r="2" spans="1:8" x14ac:dyDescent="0.35">
      <c r="A2">
        <v>1</v>
      </c>
      <c r="B2" t="s">
        <v>6</v>
      </c>
      <c r="C2" t="s">
        <v>9</v>
      </c>
      <c r="D2" t="s">
        <v>13</v>
      </c>
      <c r="E2">
        <v>12</v>
      </c>
      <c r="F2">
        <v>4</v>
      </c>
      <c r="H2" s="6">
        <f>COUNTA(A2:A14)</f>
        <v>13</v>
      </c>
    </row>
    <row r="3" spans="1:8" x14ac:dyDescent="0.35">
      <c r="A3">
        <v>2</v>
      </c>
      <c r="B3" t="s">
        <v>6</v>
      </c>
      <c r="C3" t="s">
        <v>10</v>
      </c>
      <c r="D3" t="s">
        <v>14</v>
      </c>
      <c r="E3">
        <v>28</v>
      </c>
      <c r="F3">
        <v>3</v>
      </c>
    </row>
    <row r="4" spans="1:8" x14ac:dyDescent="0.35">
      <c r="A4">
        <v>3</v>
      </c>
      <c r="B4" t="s">
        <v>6</v>
      </c>
      <c r="C4" t="s">
        <v>11</v>
      </c>
      <c r="D4" t="s">
        <v>15</v>
      </c>
      <c r="E4">
        <v>36</v>
      </c>
      <c r="F4">
        <v>2</v>
      </c>
    </row>
    <row r="5" spans="1:8" x14ac:dyDescent="0.35">
      <c r="A5">
        <v>4</v>
      </c>
      <c r="B5" t="s">
        <v>6</v>
      </c>
      <c r="C5" t="s">
        <v>12</v>
      </c>
      <c r="D5" t="s">
        <v>13</v>
      </c>
      <c r="E5">
        <v>20</v>
      </c>
      <c r="F5">
        <v>4</v>
      </c>
    </row>
    <row r="6" spans="1:8" x14ac:dyDescent="0.35">
      <c r="A6">
        <v>5</v>
      </c>
      <c r="B6" t="s">
        <v>7</v>
      </c>
      <c r="C6" t="s">
        <v>9</v>
      </c>
      <c r="D6" t="s">
        <v>14</v>
      </c>
      <c r="E6">
        <v>8</v>
      </c>
      <c r="F6">
        <v>5</v>
      </c>
    </row>
    <row r="7" spans="1:8" x14ac:dyDescent="0.35">
      <c r="A7">
        <v>6</v>
      </c>
      <c r="B7" t="s">
        <v>7</v>
      </c>
      <c r="C7" t="s">
        <v>10</v>
      </c>
      <c r="D7" t="s">
        <v>15</v>
      </c>
      <c r="E7">
        <v>30</v>
      </c>
      <c r="F7">
        <v>3</v>
      </c>
    </row>
    <row r="8" spans="1:8" x14ac:dyDescent="0.35">
      <c r="A8">
        <v>7</v>
      </c>
      <c r="B8" t="s">
        <v>7</v>
      </c>
      <c r="C8" t="s">
        <v>11</v>
      </c>
      <c r="D8" t="s">
        <v>13</v>
      </c>
      <c r="E8">
        <v>18</v>
      </c>
      <c r="F8">
        <v>4</v>
      </c>
    </row>
    <row r="9" spans="1:8" x14ac:dyDescent="0.35">
      <c r="A9">
        <v>8</v>
      </c>
      <c r="B9" t="s">
        <v>7</v>
      </c>
      <c r="C9" t="s">
        <v>12</v>
      </c>
      <c r="D9" t="s">
        <v>14</v>
      </c>
      <c r="E9">
        <v>40</v>
      </c>
      <c r="F9">
        <v>2</v>
      </c>
    </row>
    <row r="10" spans="1:8" x14ac:dyDescent="0.35">
      <c r="A10">
        <v>9</v>
      </c>
      <c r="B10" t="s">
        <v>8</v>
      </c>
      <c r="C10" t="s">
        <v>9</v>
      </c>
      <c r="D10" t="s">
        <v>15</v>
      </c>
      <c r="E10">
        <v>16</v>
      </c>
      <c r="F10">
        <v>4</v>
      </c>
    </row>
    <row r="11" spans="1:8" x14ac:dyDescent="0.35">
      <c r="A11">
        <v>10</v>
      </c>
      <c r="B11" t="s">
        <v>8</v>
      </c>
      <c r="C11" t="s">
        <v>10</v>
      </c>
      <c r="D11" t="s">
        <v>13</v>
      </c>
      <c r="E11">
        <v>22</v>
      </c>
      <c r="F11">
        <v>4</v>
      </c>
    </row>
    <row r="12" spans="1:8" x14ac:dyDescent="0.35">
      <c r="A12">
        <v>11</v>
      </c>
      <c r="B12" t="s">
        <v>8</v>
      </c>
      <c r="C12" t="s">
        <v>11</v>
      </c>
      <c r="D12" t="s">
        <v>14</v>
      </c>
      <c r="E12">
        <v>32</v>
      </c>
      <c r="F12">
        <v>3</v>
      </c>
    </row>
    <row r="13" spans="1:8" x14ac:dyDescent="0.35">
      <c r="A13">
        <v>12</v>
      </c>
      <c r="B13" t="s">
        <v>8</v>
      </c>
      <c r="C13" t="s">
        <v>12</v>
      </c>
      <c r="D13" t="s">
        <v>15</v>
      </c>
      <c r="E13">
        <v>24</v>
      </c>
      <c r="F13">
        <v>5</v>
      </c>
    </row>
    <row r="14" spans="1:8" x14ac:dyDescent="0.35">
      <c r="A14">
        <v>12</v>
      </c>
      <c r="B14" t="s">
        <v>8</v>
      </c>
      <c r="C14" t="s">
        <v>12</v>
      </c>
      <c r="D14" t="s">
        <v>15</v>
      </c>
      <c r="E14">
        <v>24</v>
      </c>
      <c r="F14">
        <v>5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93EC-6351-416B-B889-5E102D81F103}">
  <dimension ref="A1:C5"/>
  <sheetViews>
    <sheetView zoomScale="85" zoomScaleNormal="85" workbookViewId="0">
      <selection activeCell="G14" sqref="G14"/>
    </sheetView>
  </sheetViews>
  <sheetFormatPr defaultRowHeight="14.5" x14ac:dyDescent="0.35"/>
  <cols>
    <col min="2" max="2" width="12.90625" bestFit="1" customWidth="1"/>
    <col min="3" max="3" width="11.7265625" bestFit="1" customWidth="1"/>
  </cols>
  <sheetData>
    <row r="1" spans="1:3" x14ac:dyDescent="0.35">
      <c r="A1" s="1" t="s">
        <v>2</v>
      </c>
      <c r="B1" s="1" t="s">
        <v>16</v>
      </c>
      <c r="C1" s="1" t="s">
        <v>17</v>
      </c>
    </row>
    <row r="2" spans="1:3" x14ac:dyDescent="0.35">
      <c r="A2" t="s">
        <v>9</v>
      </c>
      <c r="B2" t="s">
        <v>18</v>
      </c>
      <c r="C2" s="1" t="s">
        <v>22</v>
      </c>
    </row>
    <row r="3" spans="1:3" x14ac:dyDescent="0.35">
      <c r="A3" t="s">
        <v>10</v>
      </c>
      <c r="B3" s="1" t="s">
        <v>19</v>
      </c>
      <c r="C3" s="1" t="s">
        <v>22</v>
      </c>
    </row>
    <row r="4" spans="1:3" x14ac:dyDescent="0.35">
      <c r="A4" t="s">
        <v>11</v>
      </c>
      <c r="B4" s="1" t="s">
        <v>20</v>
      </c>
      <c r="C4" s="1" t="s">
        <v>23</v>
      </c>
    </row>
    <row r="5" spans="1:3" x14ac:dyDescent="0.35">
      <c r="A5" t="s">
        <v>12</v>
      </c>
      <c r="B5" s="1" t="s">
        <v>21</v>
      </c>
      <c r="C5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EBB2-462B-4144-BCCC-F4C9361AC045}">
  <dimension ref="A1:H18"/>
  <sheetViews>
    <sheetView workbookViewId="0">
      <selection activeCell="D8" sqref="D8"/>
    </sheetView>
  </sheetViews>
  <sheetFormatPr defaultRowHeight="14.5" x14ac:dyDescent="0.35"/>
  <cols>
    <col min="1" max="1" width="16" bestFit="1" customWidth="1"/>
    <col min="2" max="2" width="8.54296875" bestFit="1" customWidth="1"/>
    <col min="3" max="3" width="10.7265625" bestFit="1" customWidth="1"/>
    <col min="5" max="5" width="8.7265625" style="5"/>
    <col min="6" max="6" width="16.26953125" style="5" bestFit="1" customWidth="1"/>
    <col min="7" max="7" width="21.81640625" customWidth="1"/>
    <col min="8" max="8" width="16" bestFit="1" customWidth="1"/>
  </cols>
  <sheetData>
    <row r="1" spans="1:8" x14ac:dyDescent="0.35">
      <c r="A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26</v>
      </c>
      <c r="H1" s="2" t="s">
        <v>27</v>
      </c>
    </row>
    <row r="2" spans="1:8" x14ac:dyDescent="0.35">
      <c r="A2">
        <v>1</v>
      </c>
      <c r="B2" t="s">
        <v>6</v>
      </c>
      <c r="C2" t="s">
        <v>9</v>
      </c>
      <c r="D2" t="s">
        <v>13</v>
      </c>
      <c r="E2" s="5">
        <v>12</v>
      </c>
      <c r="F2" s="5">
        <v>4</v>
      </c>
      <c r="G2" t="str">
        <f>_xlfn.XLOOKUP(C2,Lookup!$A$2:$A$5,Lookup!$C$2:$C$5)</f>
        <v>Service</v>
      </c>
      <c r="H2">
        <f t="shared" ref="H2:H13" si="0">IF(E2&gt;24,1,0)</f>
        <v>0</v>
      </c>
    </row>
    <row r="3" spans="1:8" x14ac:dyDescent="0.35">
      <c r="A3">
        <v>2</v>
      </c>
      <c r="B3" t="s">
        <v>6</v>
      </c>
      <c r="C3" t="s">
        <v>10</v>
      </c>
      <c r="D3" t="s">
        <v>14</v>
      </c>
      <c r="E3" s="5">
        <v>28</v>
      </c>
      <c r="F3" s="5">
        <v>3</v>
      </c>
      <c r="G3" t="str">
        <f>_xlfn.XLOOKUP(C3,Lookup!$A$2:$A$5,Lookup!$C$2:$C$5)</f>
        <v>Service</v>
      </c>
      <c r="H3">
        <f t="shared" si="0"/>
        <v>1</v>
      </c>
    </row>
    <row r="4" spans="1:8" x14ac:dyDescent="0.35">
      <c r="A4">
        <v>3</v>
      </c>
      <c r="B4" t="s">
        <v>6</v>
      </c>
      <c r="C4" t="s">
        <v>11</v>
      </c>
      <c r="D4" t="s">
        <v>15</v>
      </c>
      <c r="E4" s="5">
        <v>36</v>
      </c>
      <c r="F4" s="5">
        <v>2</v>
      </c>
      <c r="G4" t="str">
        <f>_xlfn.XLOOKUP(C4,Lookup!$A$2:$A$5,Lookup!$C$2:$C$5)</f>
        <v>Technical</v>
      </c>
      <c r="H4">
        <f t="shared" si="0"/>
        <v>1</v>
      </c>
    </row>
    <row r="5" spans="1:8" x14ac:dyDescent="0.35">
      <c r="A5">
        <v>4</v>
      </c>
      <c r="B5" t="s">
        <v>6</v>
      </c>
      <c r="C5" t="s">
        <v>12</v>
      </c>
      <c r="D5" t="s">
        <v>13</v>
      </c>
      <c r="E5" s="5">
        <v>20</v>
      </c>
      <c r="F5" s="5">
        <v>4</v>
      </c>
      <c r="G5" t="str">
        <f>_xlfn.XLOOKUP(C5,Lookup!$A$2:$A$5,Lookup!$C$2:$C$5)</f>
        <v>Technical</v>
      </c>
      <c r="H5">
        <f t="shared" si="0"/>
        <v>0</v>
      </c>
    </row>
    <row r="6" spans="1:8" x14ac:dyDescent="0.35">
      <c r="A6">
        <v>5</v>
      </c>
      <c r="B6" t="s">
        <v>7</v>
      </c>
      <c r="C6" t="s">
        <v>9</v>
      </c>
      <c r="D6" t="s">
        <v>14</v>
      </c>
      <c r="E6" s="5">
        <v>8</v>
      </c>
      <c r="F6" s="5">
        <v>5</v>
      </c>
      <c r="G6" t="str">
        <f>_xlfn.XLOOKUP(C6,Lookup!$A$2:$A$5,Lookup!$C$2:$C$5)</f>
        <v>Service</v>
      </c>
      <c r="H6">
        <f t="shared" si="0"/>
        <v>0</v>
      </c>
    </row>
    <row r="7" spans="1:8" x14ac:dyDescent="0.35">
      <c r="A7">
        <v>6</v>
      </c>
      <c r="B7" t="s">
        <v>7</v>
      </c>
      <c r="C7" t="s">
        <v>10</v>
      </c>
      <c r="D7" t="s">
        <v>15</v>
      </c>
      <c r="E7" s="5">
        <v>30</v>
      </c>
      <c r="F7" s="5">
        <v>3</v>
      </c>
      <c r="G7" t="str">
        <f>_xlfn.XLOOKUP(C7,Lookup!$A$2:$A$5,Lookup!$C$2:$C$5)</f>
        <v>Service</v>
      </c>
      <c r="H7">
        <f t="shared" si="0"/>
        <v>1</v>
      </c>
    </row>
    <row r="8" spans="1:8" x14ac:dyDescent="0.35">
      <c r="A8">
        <v>7</v>
      </c>
      <c r="B8" t="s">
        <v>7</v>
      </c>
      <c r="C8" t="s">
        <v>11</v>
      </c>
      <c r="D8" t="s">
        <v>13</v>
      </c>
      <c r="E8" s="5">
        <v>18</v>
      </c>
      <c r="F8" s="5">
        <v>4</v>
      </c>
      <c r="G8" t="str">
        <f>_xlfn.XLOOKUP(C8,Lookup!$A$2:$A$5,Lookup!$C$2:$C$5)</f>
        <v>Technical</v>
      </c>
      <c r="H8">
        <f t="shared" si="0"/>
        <v>0</v>
      </c>
    </row>
    <row r="9" spans="1:8" x14ac:dyDescent="0.35">
      <c r="A9">
        <v>8</v>
      </c>
      <c r="B9" t="s">
        <v>7</v>
      </c>
      <c r="C9" t="s">
        <v>12</v>
      </c>
      <c r="D9" t="s">
        <v>14</v>
      </c>
      <c r="E9" s="5">
        <v>40</v>
      </c>
      <c r="F9" s="5">
        <v>2</v>
      </c>
      <c r="G9" t="str">
        <f>_xlfn.XLOOKUP(C9,Lookup!$A$2:$A$5,Lookup!$C$2:$C$5)</f>
        <v>Technical</v>
      </c>
      <c r="H9">
        <f t="shared" si="0"/>
        <v>1</v>
      </c>
    </row>
    <row r="10" spans="1:8" x14ac:dyDescent="0.35">
      <c r="A10">
        <v>9</v>
      </c>
      <c r="B10" t="s">
        <v>8</v>
      </c>
      <c r="C10" t="s">
        <v>9</v>
      </c>
      <c r="D10" t="s">
        <v>15</v>
      </c>
      <c r="E10" s="5">
        <v>16</v>
      </c>
      <c r="F10" s="5">
        <v>4</v>
      </c>
      <c r="G10" t="str">
        <f>_xlfn.XLOOKUP(C10,Lookup!$A$2:$A$5,Lookup!$C$2:$C$5)</f>
        <v>Service</v>
      </c>
      <c r="H10">
        <f t="shared" si="0"/>
        <v>0</v>
      </c>
    </row>
    <row r="11" spans="1:8" x14ac:dyDescent="0.35">
      <c r="A11">
        <v>10</v>
      </c>
      <c r="B11" t="s">
        <v>8</v>
      </c>
      <c r="C11" t="s">
        <v>10</v>
      </c>
      <c r="D11" t="s">
        <v>13</v>
      </c>
      <c r="E11" s="5">
        <v>22</v>
      </c>
      <c r="F11" s="5">
        <v>4</v>
      </c>
      <c r="G11" t="str">
        <f>_xlfn.XLOOKUP(C11,Lookup!$A$2:$A$5,Lookup!$C$2:$C$5)</f>
        <v>Service</v>
      </c>
      <c r="H11">
        <f t="shared" si="0"/>
        <v>0</v>
      </c>
    </row>
    <row r="12" spans="1:8" x14ac:dyDescent="0.35">
      <c r="A12">
        <v>11</v>
      </c>
      <c r="B12" t="s">
        <v>8</v>
      </c>
      <c r="C12" t="s">
        <v>11</v>
      </c>
      <c r="D12" t="s">
        <v>14</v>
      </c>
      <c r="E12" s="5">
        <v>32</v>
      </c>
      <c r="F12" s="5">
        <v>3</v>
      </c>
      <c r="G12" t="str">
        <f>_xlfn.XLOOKUP(C12,Lookup!$A$2:$A$5,Lookup!$C$2:$C$5)</f>
        <v>Technical</v>
      </c>
      <c r="H12">
        <f t="shared" si="0"/>
        <v>1</v>
      </c>
    </row>
    <row r="13" spans="1:8" x14ac:dyDescent="0.35">
      <c r="A13">
        <v>12</v>
      </c>
      <c r="B13" t="s">
        <v>8</v>
      </c>
      <c r="C13" t="s">
        <v>12</v>
      </c>
      <c r="D13" t="s">
        <v>15</v>
      </c>
      <c r="E13" s="5">
        <v>24</v>
      </c>
      <c r="F13" s="5">
        <v>5</v>
      </c>
      <c r="G13" t="str">
        <f>_xlfn.XLOOKUP(C13,Lookup!$A$2:$A$5,Lookup!$C$2:$C$5)</f>
        <v>Technical</v>
      </c>
      <c r="H13">
        <f t="shared" si="0"/>
        <v>0</v>
      </c>
    </row>
    <row r="15" spans="1:8" x14ac:dyDescent="0.35">
      <c r="A15" s="7" t="s">
        <v>25</v>
      </c>
    </row>
    <row r="16" spans="1:8" x14ac:dyDescent="0.35">
      <c r="A16" s="6">
        <f>COUNTA(A2:A13)</f>
        <v>12</v>
      </c>
    </row>
    <row r="17" spans="1:1" x14ac:dyDescent="0.35">
      <c r="A17" s="7" t="s">
        <v>24</v>
      </c>
    </row>
    <row r="18" spans="1:1" x14ac:dyDescent="0.35">
      <c r="A18" s="6">
        <f>COUNTA(Raw!A2:A14)</f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D10C-4E2D-45C3-84FB-A714E7ED7E8C}">
  <dimension ref="A3:E26"/>
  <sheetViews>
    <sheetView workbookViewId="0">
      <selection activeCell="H10" sqref="H10"/>
    </sheetView>
  </sheetViews>
  <sheetFormatPr defaultRowHeight="14.5" x14ac:dyDescent="0.35"/>
  <cols>
    <col min="1" max="1" width="24.81640625" bestFit="1" customWidth="1"/>
    <col min="2" max="2" width="15.26953125" bestFit="1" customWidth="1"/>
    <col min="3" max="3" width="3.81640625" bestFit="1" customWidth="1"/>
    <col min="4" max="4" width="4.81640625" bestFit="1" customWidth="1"/>
    <col min="5" max="5" width="11.81640625" bestFit="1" customWidth="1"/>
  </cols>
  <sheetData>
    <row r="3" spans="1:5" x14ac:dyDescent="0.35">
      <c r="A3" s="18" t="s">
        <v>34</v>
      </c>
      <c r="B3" s="18" t="s">
        <v>33</v>
      </c>
    </row>
    <row r="4" spans="1:5" x14ac:dyDescent="0.35">
      <c r="A4" s="18" t="s">
        <v>31</v>
      </c>
      <c r="B4" t="s">
        <v>6</v>
      </c>
      <c r="C4" t="s">
        <v>7</v>
      </c>
      <c r="D4" t="s">
        <v>8</v>
      </c>
      <c r="E4" t="s">
        <v>32</v>
      </c>
    </row>
    <row r="5" spans="1:5" x14ac:dyDescent="0.35">
      <c r="A5" s="19" t="s">
        <v>22</v>
      </c>
      <c r="B5">
        <v>20</v>
      </c>
      <c r="C5">
        <v>19</v>
      </c>
      <c r="D5">
        <v>19</v>
      </c>
      <c r="E5">
        <v>19.333333333333332</v>
      </c>
    </row>
    <row r="6" spans="1:5" x14ac:dyDescent="0.35">
      <c r="A6" s="19" t="s">
        <v>23</v>
      </c>
      <c r="B6">
        <v>28</v>
      </c>
      <c r="C6">
        <v>29</v>
      </c>
      <c r="D6">
        <v>28</v>
      </c>
      <c r="E6">
        <v>28.333333333333332</v>
      </c>
    </row>
    <row r="7" spans="1:5" x14ac:dyDescent="0.35">
      <c r="A7" s="19" t="s">
        <v>32</v>
      </c>
      <c r="B7">
        <v>24</v>
      </c>
      <c r="C7">
        <v>24</v>
      </c>
      <c r="D7">
        <v>23.5</v>
      </c>
      <c r="E7">
        <v>23.833333333333332</v>
      </c>
    </row>
    <row r="9" spans="1:5" x14ac:dyDescent="0.35">
      <c r="A9" s="9"/>
      <c r="B9" s="10"/>
      <c r="C9" s="11"/>
    </row>
    <row r="10" spans="1:5" x14ac:dyDescent="0.35">
      <c r="A10" s="12"/>
      <c r="B10" s="13"/>
      <c r="C10" s="14"/>
    </row>
    <row r="11" spans="1:5" x14ac:dyDescent="0.35">
      <c r="A11" s="12"/>
      <c r="B11" s="13"/>
      <c r="C11" s="14"/>
    </row>
    <row r="12" spans="1:5" x14ac:dyDescent="0.35">
      <c r="A12" s="12"/>
      <c r="B12" s="13"/>
      <c r="C12" s="14"/>
    </row>
    <row r="13" spans="1:5" x14ac:dyDescent="0.35">
      <c r="A13" s="12"/>
      <c r="B13" s="13"/>
      <c r="C13" s="14"/>
    </row>
    <row r="14" spans="1:5" x14ac:dyDescent="0.35">
      <c r="A14" s="12"/>
      <c r="B14" s="13"/>
      <c r="C14" s="14"/>
    </row>
    <row r="15" spans="1:5" x14ac:dyDescent="0.35">
      <c r="A15" s="12"/>
      <c r="B15" s="13"/>
      <c r="C15" s="14"/>
    </row>
    <row r="16" spans="1:5" x14ac:dyDescent="0.35">
      <c r="A16" s="12"/>
      <c r="B16" s="13"/>
      <c r="C16" s="14"/>
    </row>
    <row r="17" spans="1:3" x14ac:dyDescent="0.35">
      <c r="A17" s="12"/>
      <c r="B17" s="13"/>
      <c r="C17" s="14"/>
    </row>
    <row r="18" spans="1:3" x14ac:dyDescent="0.35">
      <c r="A18" s="12"/>
      <c r="B18" s="13"/>
      <c r="C18" s="14"/>
    </row>
    <row r="19" spans="1:3" x14ac:dyDescent="0.35">
      <c r="A19" s="12"/>
      <c r="B19" s="13"/>
      <c r="C19" s="14"/>
    </row>
    <row r="20" spans="1:3" x14ac:dyDescent="0.35">
      <c r="A20" s="12"/>
      <c r="B20" s="13"/>
      <c r="C20" s="14"/>
    </row>
    <row r="21" spans="1:3" x14ac:dyDescent="0.35">
      <c r="A21" s="12"/>
      <c r="B21" s="13"/>
      <c r="C21" s="14"/>
    </row>
    <row r="22" spans="1:3" x14ac:dyDescent="0.35">
      <c r="A22" s="12"/>
      <c r="B22" s="13"/>
      <c r="C22" s="14"/>
    </row>
    <row r="23" spans="1:3" x14ac:dyDescent="0.35">
      <c r="A23" s="12"/>
      <c r="B23" s="13"/>
      <c r="C23" s="14"/>
    </row>
    <row r="24" spans="1:3" x14ac:dyDescent="0.35">
      <c r="A24" s="12"/>
      <c r="B24" s="13"/>
      <c r="C24" s="14"/>
    </row>
    <row r="25" spans="1:3" x14ac:dyDescent="0.35">
      <c r="A25" s="12"/>
      <c r="B25" s="13"/>
      <c r="C25" s="14"/>
    </row>
    <row r="26" spans="1:3" x14ac:dyDescent="0.35">
      <c r="A26" s="15"/>
      <c r="B26" s="16"/>
      <c r="C26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A479-EB1D-4F54-814F-824DE988BB85}">
  <dimension ref="A1:D4"/>
  <sheetViews>
    <sheetView workbookViewId="0">
      <selection activeCell="F6" sqref="F6"/>
    </sheetView>
  </sheetViews>
  <sheetFormatPr defaultRowHeight="14.5" x14ac:dyDescent="0.35"/>
  <cols>
    <col min="1" max="1" width="10.7265625" bestFit="1" customWidth="1"/>
    <col min="2" max="2" width="14.81640625" bestFit="1" customWidth="1"/>
    <col min="4" max="4" width="14.1796875" bestFit="1" customWidth="1"/>
  </cols>
  <sheetData>
    <row r="1" spans="1:4" x14ac:dyDescent="0.35">
      <c r="A1" s="7" t="s">
        <v>28</v>
      </c>
      <c r="B1" s="7" t="s">
        <v>29</v>
      </c>
      <c r="D1" s="7" t="s">
        <v>30</v>
      </c>
    </row>
    <row r="2" spans="1:4" x14ac:dyDescent="0.35">
      <c r="A2" s="6" t="s">
        <v>13</v>
      </c>
      <c r="B2" s="6">
        <f>COUNTIFS(Clean!$D$2:$D$13,A2,Clean!$H$2:$H$13,1)</f>
        <v>0</v>
      </c>
      <c r="D2" s="8">
        <f>COUNTIF(Clean!H2:H13,1)/COUNTA(Clean!A2:A13)</f>
        <v>0.41666666666666669</v>
      </c>
    </row>
    <row r="3" spans="1:4" x14ac:dyDescent="0.35">
      <c r="A3" s="6" t="s">
        <v>14</v>
      </c>
      <c r="B3" s="6">
        <f>COUNTIFS(Clean!$D$2:$D$13,A3,Clean!$H$2:$H$13,1)</f>
        <v>3</v>
      </c>
    </row>
    <row r="4" spans="1:4" x14ac:dyDescent="0.35">
      <c r="A4" s="6" t="s">
        <v>15</v>
      </c>
      <c r="B4" s="6">
        <f>COUNTIFS(Clean!$D$2:$D$13,A4,Clean!$H$2:$H$13,1)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Raw</vt:lpstr>
      <vt:lpstr>Lookup</vt:lpstr>
      <vt:lpstr>Clean</vt:lpstr>
      <vt:lpstr>pivot_table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 TECH</dc:creator>
  <cp:lastModifiedBy>LP TECH</cp:lastModifiedBy>
  <dcterms:created xsi:type="dcterms:W3CDTF">2026-09-26T05:21:15Z</dcterms:created>
  <dcterms:modified xsi:type="dcterms:W3CDTF">2026-09-26T07:41:04Z</dcterms:modified>
</cp:coreProperties>
</file>